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7955" windowHeight="10005"/>
  </bookViews>
  <sheets>
    <sheet name="SEP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Q21" i="1"/>
  <c r="R21" i="1"/>
  <c r="S21" i="1"/>
  <c r="N21" i="1"/>
  <c r="O21" i="1"/>
  <c r="K21" i="1" l="1"/>
  <c r="L21" i="1"/>
  <c r="H21" i="1" l="1"/>
  <c r="I21" i="1"/>
  <c r="E21" i="1" l="1"/>
  <c r="F21" i="1"/>
  <c r="B21" i="1"/>
  <c r="C21" i="1"/>
  <c r="E1048576" i="1" l="1"/>
</calcChain>
</file>

<file path=xl/sharedStrings.xml><?xml version="1.0" encoding="utf-8"?>
<sst xmlns="http://schemas.openxmlformats.org/spreadsheetml/2006/main" count="38" uniqueCount="26">
  <si>
    <t>LAPTOPS</t>
  </si>
  <si>
    <t>BRANDED SYS.</t>
  </si>
  <si>
    <t>PRINTERS</t>
  </si>
  <si>
    <t>MOBILE PHONES</t>
  </si>
  <si>
    <t>INKS</t>
  </si>
  <si>
    <t>TONERS</t>
  </si>
  <si>
    <t>UNIT</t>
  </si>
  <si>
    <t>SALES</t>
  </si>
  <si>
    <t>ABAKALIKI</t>
  </si>
  <si>
    <t>ENUGU</t>
  </si>
  <si>
    <t>ADEPELE</t>
  </si>
  <si>
    <t>OBAAKRAN</t>
  </si>
  <si>
    <t>OWERRI</t>
  </si>
  <si>
    <t>P/HACOURT</t>
  </si>
  <si>
    <t>UTAKO</t>
  </si>
  <si>
    <t>B2B</t>
  </si>
  <si>
    <t>ONLINE</t>
  </si>
  <si>
    <t>ASABA</t>
  </si>
  <si>
    <t>WUSE</t>
  </si>
  <si>
    <t>SERVICE CENTER</t>
  </si>
  <si>
    <t>B2R</t>
  </si>
  <si>
    <t>UYO</t>
  </si>
  <si>
    <t>TOTAL</t>
  </si>
  <si>
    <t>PEPPLE</t>
  </si>
  <si>
    <t>CANON</t>
  </si>
  <si>
    <t>JAN 2024-DEC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</si>
</sst>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7" fontId="2" fillId="0" borderId="7" xfId="1" applyNumberFormat="1" applyFont="1" applyBorder="1"/>
    <xf numFmtId="43" fontId="2" fillId="0" borderId="8" xfId="1" applyFont="1" applyBorder="1"/>
    <xf numFmtId="43" fontId="2" fillId="0" borderId="4" xfId="1" applyFont="1" applyBorder="1"/>
    <xf numFmtId="43" fontId="2" fillId="0" borderId="5" xfId="1" applyFont="1" applyBorder="1"/>
    <xf numFmtId="43" fontId="2" fillId="0" borderId="9" xfId="1" applyFont="1" applyBorder="1"/>
    <xf numFmtId="43" fontId="2" fillId="0" borderId="10" xfId="1" applyFont="1" applyBorder="1"/>
    <xf numFmtId="43" fontId="2" fillId="0" borderId="2" xfId="1" applyFont="1" applyBorder="1"/>
    <xf numFmtId="43" fontId="2" fillId="0" borderId="1" xfId="1" applyFont="1" applyBorder="1"/>
    <xf numFmtId="0" fontId="0" fillId="0" borderId="1" xfId="0" applyBorder="1"/>
    <xf numFmtId="0" fontId="0" fillId="0" borderId="10" xfId="0" applyBorder="1"/>
    <xf numFmtId="43" fontId="2" fillId="0" borderId="12" xfId="1" applyFont="1" applyBorder="1"/>
    <xf numFmtId="43" fontId="2" fillId="0" borderId="13" xfId="1" applyFont="1" applyBorder="1"/>
    <xf numFmtId="0" fontId="3" fillId="0" borderId="13" xfId="0" applyFont="1" applyBorder="1"/>
    <xf numFmtId="43" fontId="0" fillId="0" borderId="0" xfId="1" applyFont="1"/>
    <xf numFmtId="43" fontId="3" fillId="0" borderId="10" xfId="1" applyFont="1" applyBorder="1"/>
    <xf numFmtId="43" fontId="3" fillId="0" borderId="1" xfId="1" applyFont="1" applyBorder="1"/>
    <xf numFmtId="43" fontId="2" fillId="0" borderId="14" xfId="1" applyFont="1" applyBorder="1"/>
    <xf numFmtId="43" fontId="2" fillId="0" borderId="15" xfId="1" applyFont="1" applyBorder="1"/>
    <xf numFmtId="43" fontId="3" fillId="0" borderId="15" xfId="1" applyFont="1" applyBorder="1"/>
    <xf numFmtId="0" fontId="0" fillId="0" borderId="15" xfId="0" applyBorder="1"/>
    <xf numFmtId="43" fontId="3" fillId="0" borderId="4" xfId="1" applyFont="1" applyBorder="1"/>
    <xf numFmtId="43" fontId="3" fillId="0" borderId="5" xfId="1" applyFont="1" applyBorder="1"/>
    <xf numFmtId="43" fontId="3" fillId="0" borderId="6" xfId="1" applyFont="1" applyBorder="1"/>
    <xf numFmtId="43" fontId="3" fillId="0" borderId="17" xfId="1" applyFont="1" applyBorder="1"/>
    <xf numFmtId="43" fontId="2" fillId="0" borderId="18" xfId="1" applyFont="1" applyBorder="1"/>
    <xf numFmtId="43" fontId="2" fillId="0" borderId="17" xfId="1" applyFont="1" applyBorder="1"/>
    <xf numFmtId="0" fontId="3" fillId="0" borderId="19" xfId="0" applyFont="1" applyBorder="1"/>
    <xf numFmtId="43" fontId="2" fillId="0" borderId="20" xfId="1" applyFont="1" applyBorder="1"/>
    <xf numFmtId="43" fontId="2" fillId="0" borderId="21" xfId="1" applyFont="1" applyBorder="1"/>
    <xf numFmtId="43" fontId="2" fillId="0" borderId="22" xfId="1" applyFont="1" applyBorder="1"/>
    <xf numFmtId="43" fontId="0" fillId="0" borderId="4" xfId="1" applyFont="1" applyBorder="1"/>
    <xf numFmtId="43" fontId="0" fillId="0" borderId="6" xfId="1" applyFont="1" applyBorder="1"/>
    <xf numFmtId="43" fontId="3" fillId="0" borderId="9" xfId="1" applyFont="1" applyBorder="1"/>
    <xf numFmtId="43" fontId="3" fillId="0" borderId="11" xfId="1" applyFont="1" applyBorder="1"/>
    <xf numFmtId="43" fontId="3" fillId="0" borderId="2" xfId="1" applyFont="1" applyBorder="1"/>
    <xf numFmtId="43" fontId="3" fillId="0" borderId="3" xfId="1" applyFont="1" applyBorder="1"/>
    <xf numFmtId="43" fontId="3" fillId="0" borderId="14" xfId="1" applyFont="1" applyBorder="1"/>
    <xf numFmtId="43" fontId="3" fillId="0" borderId="16" xfId="1" applyFont="1" applyBorder="1"/>
    <xf numFmtId="43" fontId="4" fillId="0" borderId="15" xfId="1" applyFont="1" applyBorder="1"/>
    <xf numFmtId="43" fontId="3" fillId="0" borderId="22" xfId="1" applyFont="1" applyBorder="1"/>
    <xf numFmtId="43" fontId="4" fillId="0" borderId="0" xfId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4857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1" width="24.85546875" bestFit="1" customWidth="1"/>
    <col min="2" max="2" width="14.28515625" customWidth="1"/>
    <col min="3" max="3" width="26.42578125" bestFit="1" customWidth="1"/>
    <col min="4" max="4" width="0.140625" customWidth="1"/>
    <col min="5" max="5" width="20" style="14" bestFit="1" customWidth="1"/>
    <col min="6" max="6" width="25.28515625" style="14" bestFit="1" customWidth="1"/>
    <col min="7" max="7" width="0.140625" customWidth="1"/>
    <col min="8" max="8" width="20.140625" customWidth="1"/>
    <col min="9" max="9" width="23.42578125" customWidth="1"/>
    <col min="10" max="10" width="0.140625" customWidth="1"/>
    <col min="11" max="11" width="20" customWidth="1"/>
    <col min="12" max="12" width="23.42578125" style="14" customWidth="1"/>
    <col min="13" max="13" width="0.140625" customWidth="1"/>
    <col min="14" max="14" width="17.5703125" customWidth="1"/>
    <col min="15" max="15" width="21.140625" bestFit="1" customWidth="1"/>
    <col min="16" max="16" width="13.5703125" customWidth="1"/>
    <col min="17" max="17" width="22.140625" customWidth="1"/>
    <col min="18" max="18" width="15.7109375" style="14" customWidth="1"/>
    <col min="19" max="19" width="21.140625" style="14" bestFit="1" customWidth="1"/>
    <col min="20" max="20" width="14.28515625" bestFit="1" customWidth="1"/>
  </cols>
  <sheetData>
    <row r="2" spans="1:20" ht="15.75" thickBot="1" x14ac:dyDescent="0.3"/>
    <row r="3" spans="1:20" ht="19.5" thickBot="1" x14ac:dyDescent="0.35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5"/>
      <c r="R3" s="31"/>
      <c r="S3" s="32"/>
    </row>
    <row r="4" spans="1:20" ht="19.5" thickBot="1" x14ac:dyDescent="0.35">
      <c r="A4" s="3"/>
      <c r="B4" s="4" t="s">
        <v>0</v>
      </c>
      <c r="C4" s="4"/>
      <c r="D4" s="4"/>
      <c r="E4" s="4" t="s">
        <v>1</v>
      </c>
      <c r="F4" s="4"/>
      <c r="G4" s="4"/>
      <c r="H4" s="4" t="s">
        <v>2</v>
      </c>
      <c r="I4" s="4"/>
      <c r="J4" s="4"/>
      <c r="K4" s="4" t="s">
        <v>3</v>
      </c>
      <c r="L4" s="4"/>
      <c r="M4" s="4"/>
      <c r="N4" s="4" t="s">
        <v>4</v>
      </c>
      <c r="O4" s="4"/>
      <c r="P4" s="4" t="s">
        <v>5</v>
      </c>
      <c r="Q4" s="26"/>
      <c r="R4" s="21" t="s">
        <v>24</v>
      </c>
      <c r="S4" s="23"/>
    </row>
    <row r="5" spans="1:20" ht="19.5" thickBot="1" x14ac:dyDescent="0.35">
      <c r="A5" s="11"/>
      <c r="B5" s="12" t="s">
        <v>6</v>
      </c>
      <c r="C5" s="12" t="s">
        <v>7</v>
      </c>
      <c r="D5" s="12"/>
      <c r="E5" s="12" t="s">
        <v>6</v>
      </c>
      <c r="F5" s="12" t="s">
        <v>7</v>
      </c>
      <c r="G5" s="12"/>
      <c r="H5" s="12" t="s">
        <v>6</v>
      </c>
      <c r="I5" s="12" t="s">
        <v>7</v>
      </c>
      <c r="J5" s="12"/>
      <c r="K5" s="12" t="s">
        <v>6</v>
      </c>
      <c r="L5" s="12" t="s">
        <v>7</v>
      </c>
      <c r="M5" s="12"/>
      <c r="N5" s="12" t="s">
        <v>6</v>
      </c>
      <c r="O5" s="12" t="s">
        <v>7</v>
      </c>
      <c r="P5" s="13" t="s">
        <v>6</v>
      </c>
      <c r="Q5" s="27" t="s">
        <v>7</v>
      </c>
      <c r="R5" s="21" t="s">
        <v>6</v>
      </c>
      <c r="S5" s="23" t="s">
        <v>7</v>
      </c>
    </row>
    <row r="6" spans="1:20" ht="18.75" x14ac:dyDescent="0.3">
      <c r="A6" s="5" t="s">
        <v>8</v>
      </c>
      <c r="B6" s="6">
        <v>122</v>
      </c>
      <c r="C6" s="6">
        <v>68497334</v>
      </c>
      <c r="D6" s="6"/>
      <c r="E6" s="6">
        <v>1</v>
      </c>
      <c r="F6" s="6">
        <v>492000</v>
      </c>
      <c r="G6" s="6"/>
      <c r="H6" s="6">
        <v>63</v>
      </c>
      <c r="I6" s="6">
        <v>12138061</v>
      </c>
      <c r="J6" s="6"/>
      <c r="K6" s="6">
        <v>1441</v>
      </c>
      <c r="L6" s="15">
        <v>201185120</v>
      </c>
      <c r="M6" s="10"/>
      <c r="N6" s="6">
        <v>14</v>
      </c>
      <c r="O6" s="6">
        <v>284000</v>
      </c>
      <c r="P6" s="6">
        <v>2</v>
      </c>
      <c r="Q6" s="28">
        <v>160000</v>
      </c>
      <c r="R6" s="33">
        <v>5</v>
      </c>
      <c r="S6" s="34">
        <v>680910</v>
      </c>
      <c r="T6" s="14"/>
    </row>
    <row r="7" spans="1:20" ht="18.75" x14ac:dyDescent="0.3">
      <c r="A7" s="7" t="s">
        <v>9</v>
      </c>
      <c r="B7" s="8">
        <v>301</v>
      </c>
      <c r="C7" s="8">
        <v>149473000</v>
      </c>
      <c r="D7" s="8"/>
      <c r="E7" s="8">
        <v>168</v>
      </c>
      <c r="F7" s="8">
        <v>73267000</v>
      </c>
      <c r="G7" s="8"/>
      <c r="H7" s="8">
        <v>373</v>
      </c>
      <c r="I7" s="8">
        <v>58006000</v>
      </c>
      <c r="J7" s="8"/>
      <c r="K7" s="8">
        <v>2</v>
      </c>
      <c r="L7" s="16">
        <v>323000</v>
      </c>
      <c r="M7" s="9"/>
      <c r="N7" s="8">
        <v>216</v>
      </c>
      <c r="O7" s="8">
        <v>6149500</v>
      </c>
      <c r="P7" s="8">
        <v>117</v>
      </c>
      <c r="Q7" s="29">
        <v>11714700</v>
      </c>
      <c r="R7" s="35">
        <v>22</v>
      </c>
      <c r="S7" s="36">
        <v>2911000</v>
      </c>
      <c r="T7" s="14"/>
    </row>
    <row r="8" spans="1:20" ht="18.75" x14ac:dyDescent="0.3">
      <c r="A8" s="7" t="s">
        <v>10</v>
      </c>
      <c r="B8" s="8">
        <v>805</v>
      </c>
      <c r="C8" s="8">
        <v>371824107.45999998</v>
      </c>
      <c r="D8" s="8"/>
      <c r="E8" s="8">
        <v>507</v>
      </c>
      <c r="F8" s="8">
        <v>279404174.35000002</v>
      </c>
      <c r="G8" s="8"/>
      <c r="H8" s="8">
        <v>876</v>
      </c>
      <c r="I8" s="8">
        <v>138142330.28999999</v>
      </c>
      <c r="J8" s="8"/>
      <c r="K8" s="8">
        <v>0</v>
      </c>
      <c r="L8" s="16">
        <v>0</v>
      </c>
      <c r="M8" s="9"/>
      <c r="N8" s="8">
        <v>408</v>
      </c>
      <c r="O8" s="8">
        <v>3758303</v>
      </c>
      <c r="P8" s="8">
        <v>184</v>
      </c>
      <c r="Q8" s="29">
        <v>21259036.539999999</v>
      </c>
      <c r="R8" s="35">
        <v>86</v>
      </c>
      <c r="S8" s="36">
        <v>12849201</v>
      </c>
      <c r="T8" s="14"/>
    </row>
    <row r="9" spans="1:20" ht="18.75" x14ac:dyDescent="0.3">
      <c r="A9" s="7" t="s">
        <v>11</v>
      </c>
      <c r="B9" s="8">
        <v>295</v>
      </c>
      <c r="C9" s="8">
        <v>205468000</v>
      </c>
      <c r="D9" s="8"/>
      <c r="E9" s="8">
        <v>103</v>
      </c>
      <c r="F9" s="8">
        <v>63903000</v>
      </c>
      <c r="G9" s="8"/>
      <c r="H9" s="8">
        <v>189</v>
      </c>
      <c r="I9" s="8">
        <v>59651750</v>
      </c>
      <c r="J9" s="8"/>
      <c r="K9" s="8">
        <v>56</v>
      </c>
      <c r="L9" s="16">
        <v>6765000</v>
      </c>
      <c r="M9" s="9"/>
      <c r="N9" s="8">
        <v>224</v>
      </c>
      <c r="O9" s="8">
        <v>6053000</v>
      </c>
      <c r="P9" s="8">
        <v>193</v>
      </c>
      <c r="Q9" s="29">
        <v>19992500</v>
      </c>
      <c r="R9" s="35">
        <v>92</v>
      </c>
      <c r="S9" s="36">
        <v>5509300</v>
      </c>
      <c r="T9" s="14"/>
    </row>
    <row r="10" spans="1:20" ht="18.75" x14ac:dyDescent="0.3">
      <c r="A10" s="7" t="s">
        <v>12</v>
      </c>
      <c r="B10" s="8">
        <v>147</v>
      </c>
      <c r="C10" s="8">
        <v>96505500</v>
      </c>
      <c r="D10" s="8"/>
      <c r="E10" s="8">
        <v>47</v>
      </c>
      <c r="F10" s="8">
        <v>27703000</v>
      </c>
      <c r="G10" s="8"/>
      <c r="H10" s="8">
        <v>315</v>
      </c>
      <c r="I10" s="8">
        <v>40599000</v>
      </c>
      <c r="J10" s="8"/>
      <c r="K10" s="8">
        <v>821</v>
      </c>
      <c r="L10" s="16">
        <v>114307800</v>
      </c>
      <c r="M10" s="9"/>
      <c r="N10" s="8">
        <v>120</v>
      </c>
      <c r="O10" s="8">
        <v>3175500</v>
      </c>
      <c r="P10" s="8">
        <v>52</v>
      </c>
      <c r="Q10" s="29">
        <v>5429500</v>
      </c>
      <c r="R10" s="35">
        <v>22</v>
      </c>
      <c r="S10" s="36">
        <v>3291000</v>
      </c>
      <c r="T10" s="14"/>
    </row>
    <row r="11" spans="1:20" ht="18.75" x14ac:dyDescent="0.3">
      <c r="A11" s="7" t="s">
        <v>13</v>
      </c>
      <c r="B11" s="8">
        <v>258</v>
      </c>
      <c r="C11" s="8">
        <v>134835000</v>
      </c>
      <c r="D11" s="8"/>
      <c r="E11" s="8">
        <v>275</v>
      </c>
      <c r="F11" s="8">
        <v>139272000</v>
      </c>
      <c r="G11" s="8"/>
      <c r="H11" s="8">
        <v>1154</v>
      </c>
      <c r="I11" s="8">
        <v>132534000</v>
      </c>
      <c r="J11" s="8"/>
      <c r="K11" s="8">
        <v>0</v>
      </c>
      <c r="L11" s="16">
        <v>0</v>
      </c>
      <c r="M11" s="9"/>
      <c r="N11" s="8">
        <v>14</v>
      </c>
      <c r="O11" s="8">
        <v>400000</v>
      </c>
      <c r="P11" s="8">
        <v>10</v>
      </c>
      <c r="Q11" s="29">
        <v>898000</v>
      </c>
      <c r="R11" s="35">
        <v>23</v>
      </c>
      <c r="S11" s="36">
        <v>1924000</v>
      </c>
      <c r="T11" s="14"/>
    </row>
    <row r="12" spans="1:20" ht="18.75" x14ac:dyDescent="0.3">
      <c r="A12" s="7" t="s">
        <v>14</v>
      </c>
      <c r="B12" s="8">
        <v>722</v>
      </c>
      <c r="C12" s="8">
        <v>273612000</v>
      </c>
      <c r="D12" s="8"/>
      <c r="E12" s="8">
        <v>241</v>
      </c>
      <c r="F12" s="8">
        <v>132031600</v>
      </c>
      <c r="G12" s="8"/>
      <c r="H12" s="8">
        <v>664</v>
      </c>
      <c r="I12" s="8">
        <v>122664500</v>
      </c>
      <c r="J12" s="8"/>
      <c r="K12" s="8">
        <v>4</v>
      </c>
      <c r="L12" s="16">
        <v>2169000</v>
      </c>
      <c r="M12" s="9"/>
      <c r="N12" s="8">
        <v>3032</v>
      </c>
      <c r="O12" s="8">
        <v>98105225</v>
      </c>
      <c r="P12" s="8">
        <v>405</v>
      </c>
      <c r="Q12" s="29">
        <v>46260000</v>
      </c>
      <c r="R12" s="35">
        <v>73</v>
      </c>
      <c r="S12" s="36">
        <v>13426800</v>
      </c>
      <c r="T12" s="14"/>
    </row>
    <row r="13" spans="1:20" ht="18.75" x14ac:dyDescent="0.3">
      <c r="A13" s="7" t="s">
        <v>15</v>
      </c>
      <c r="B13" s="8">
        <v>260</v>
      </c>
      <c r="C13" s="8">
        <v>206172656.49000001</v>
      </c>
      <c r="D13" s="8"/>
      <c r="E13" s="8">
        <v>146</v>
      </c>
      <c r="F13" s="8">
        <v>114911816.40000001</v>
      </c>
      <c r="G13" s="8"/>
      <c r="H13" s="8">
        <v>129</v>
      </c>
      <c r="I13" s="8">
        <v>29589760</v>
      </c>
      <c r="J13" s="8"/>
      <c r="K13" s="8">
        <v>1</v>
      </c>
      <c r="L13" s="16">
        <v>215000</v>
      </c>
      <c r="M13" s="9"/>
      <c r="N13" s="8">
        <v>410</v>
      </c>
      <c r="O13" s="8">
        <v>12438735</v>
      </c>
      <c r="P13" s="8">
        <v>249</v>
      </c>
      <c r="Q13" s="29">
        <v>29255204.629999999</v>
      </c>
      <c r="R13" s="35">
        <v>134</v>
      </c>
      <c r="S13" s="36">
        <v>4694455</v>
      </c>
      <c r="T13" s="14"/>
    </row>
    <row r="14" spans="1:20" ht="18.75" x14ac:dyDescent="0.3">
      <c r="A14" s="7" t="s">
        <v>16</v>
      </c>
      <c r="B14" s="8">
        <v>227</v>
      </c>
      <c r="C14" s="8">
        <v>115608251.40000001</v>
      </c>
      <c r="D14" s="8"/>
      <c r="E14" s="8">
        <v>102</v>
      </c>
      <c r="F14" s="8">
        <v>60629000</v>
      </c>
      <c r="G14" s="8"/>
      <c r="H14" s="8">
        <v>106</v>
      </c>
      <c r="I14" s="8">
        <v>35143800</v>
      </c>
      <c r="J14" s="8"/>
      <c r="K14" s="8">
        <v>4</v>
      </c>
      <c r="L14" s="16">
        <v>454000</v>
      </c>
      <c r="M14" s="9"/>
      <c r="N14" s="8">
        <v>293</v>
      </c>
      <c r="O14" s="8">
        <v>7949900</v>
      </c>
      <c r="P14" s="8">
        <v>381</v>
      </c>
      <c r="Q14" s="29">
        <v>44016181.5</v>
      </c>
      <c r="R14" s="35">
        <v>38</v>
      </c>
      <c r="S14" s="36">
        <v>6021250</v>
      </c>
      <c r="T14" s="14"/>
    </row>
    <row r="15" spans="1:20" ht="18.75" x14ac:dyDescent="0.3">
      <c r="A15" s="7" t="s">
        <v>17</v>
      </c>
      <c r="B15" s="8">
        <v>247</v>
      </c>
      <c r="C15" s="8">
        <v>137556500</v>
      </c>
      <c r="D15" s="8"/>
      <c r="E15" s="8">
        <v>211</v>
      </c>
      <c r="F15" s="8">
        <v>105026500</v>
      </c>
      <c r="G15" s="8"/>
      <c r="H15" s="8">
        <v>530</v>
      </c>
      <c r="I15" s="8">
        <v>64188000</v>
      </c>
      <c r="J15" s="8"/>
      <c r="K15" s="8">
        <v>962</v>
      </c>
      <c r="L15" s="16">
        <v>133043640</v>
      </c>
      <c r="M15" s="9"/>
      <c r="N15" s="8">
        <v>174</v>
      </c>
      <c r="O15" s="8">
        <v>4919600</v>
      </c>
      <c r="P15" s="8">
        <v>46</v>
      </c>
      <c r="Q15" s="29">
        <v>4199800</v>
      </c>
      <c r="R15" s="35">
        <v>63</v>
      </c>
      <c r="S15" s="36">
        <v>6673500</v>
      </c>
      <c r="T15" s="14"/>
    </row>
    <row r="16" spans="1:20" ht="18.75" x14ac:dyDescent="0.3">
      <c r="A16" s="7" t="s">
        <v>18</v>
      </c>
      <c r="B16" s="8">
        <v>576</v>
      </c>
      <c r="C16" s="8">
        <v>308136602</v>
      </c>
      <c r="D16" s="8"/>
      <c r="E16" s="8">
        <v>498</v>
      </c>
      <c r="F16" s="8">
        <v>234074200</v>
      </c>
      <c r="G16" s="8"/>
      <c r="H16" s="8">
        <v>1077</v>
      </c>
      <c r="I16" s="8">
        <v>233980561</v>
      </c>
      <c r="J16" s="8"/>
      <c r="K16" s="8">
        <v>45</v>
      </c>
      <c r="L16" s="16">
        <v>5941500</v>
      </c>
      <c r="M16" s="9"/>
      <c r="N16" s="8">
        <v>345</v>
      </c>
      <c r="O16" s="8">
        <v>9110600</v>
      </c>
      <c r="P16" s="8">
        <v>132</v>
      </c>
      <c r="Q16" s="29">
        <v>12337000</v>
      </c>
      <c r="R16" s="35">
        <v>278</v>
      </c>
      <c r="S16" s="36">
        <v>18479000</v>
      </c>
      <c r="T16" s="14"/>
    </row>
    <row r="17" spans="1:20" ht="18.75" x14ac:dyDescent="0.3">
      <c r="A17" s="7" t="s">
        <v>19</v>
      </c>
      <c r="B17" s="8">
        <v>10</v>
      </c>
      <c r="C17" s="8">
        <v>4139000</v>
      </c>
      <c r="D17" s="8"/>
      <c r="E17" s="8">
        <v>8</v>
      </c>
      <c r="F17" s="8">
        <v>2730000</v>
      </c>
      <c r="G17" s="8"/>
      <c r="H17" s="8">
        <v>3</v>
      </c>
      <c r="I17" s="8">
        <v>152000</v>
      </c>
      <c r="J17" s="8"/>
      <c r="K17" s="8">
        <v>0</v>
      </c>
      <c r="L17" s="16">
        <v>0</v>
      </c>
      <c r="M17" s="9"/>
      <c r="N17" s="8">
        <v>12</v>
      </c>
      <c r="O17" s="8">
        <v>315000</v>
      </c>
      <c r="P17" s="8">
        <v>4</v>
      </c>
      <c r="Q17" s="29">
        <v>250000</v>
      </c>
      <c r="R17" s="35">
        <v>0</v>
      </c>
      <c r="S17" s="36">
        <v>0</v>
      </c>
      <c r="T17" s="14"/>
    </row>
    <row r="18" spans="1:20" ht="18.75" x14ac:dyDescent="0.3">
      <c r="A18" s="7" t="s">
        <v>20</v>
      </c>
      <c r="B18" s="8">
        <v>1940</v>
      </c>
      <c r="C18" s="8">
        <v>765347405.15999997</v>
      </c>
      <c r="D18" s="8"/>
      <c r="E18" s="8">
        <v>1158</v>
      </c>
      <c r="F18" s="8">
        <v>585926250</v>
      </c>
      <c r="G18" s="8"/>
      <c r="H18" s="8">
        <v>1570</v>
      </c>
      <c r="I18" s="8">
        <v>240734670</v>
      </c>
      <c r="J18" s="8"/>
      <c r="K18" s="8">
        <v>1</v>
      </c>
      <c r="L18" s="16">
        <v>170000</v>
      </c>
      <c r="M18" s="9"/>
      <c r="N18" s="8">
        <v>50</v>
      </c>
      <c r="O18" s="8">
        <v>765604</v>
      </c>
      <c r="P18" s="8">
        <v>76</v>
      </c>
      <c r="Q18" s="29">
        <v>8641226</v>
      </c>
      <c r="R18" s="35">
        <v>265</v>
      </c>
      <c r="S18" s="36">
        <v>43077000</v>
      </c>
      <c r="T18" s="14"/>
    </row>
    <row r="19" spans="1:20" ht="18.75" x14ac:dyDescent="0.3">
      <c r="A19" s="17" t="s">
        <v>21</v>
      </c>
      <c r="B19" s="18">
        <v>92</v>
      </c>
      <c r="C19" s="18">
        <v>53445000</v>
      </c>
      <c r="D19" s="18"/>
      <c r="E19" s="18">
        <v>16</v>
      </c>
      <c r="F19" s="18">
        <v>9920824</v>
      </c>
      <c r="G19" s="18"/>
      <c r="H19" s="18">
        <v>195</v>
      </c>
      <c r="I19" s="18">
        <v>26341525</v>
      </c>
      <c r="J19" s="18"/>
      <c r="K19" s="18">
        <v>486</v>
      </c>
      <c r="L19" s="19">
        <v>55367700</v>
      </c>
      <c r="M19" s="20"/>
      <c r="N19" s="18">
        <v>60</v>
      </c>
      <c r="O19" s="18">
        <v>1164300</v>
      </c>
      <c r="P19" s="18">
        <v>16</v>
      </c>
      <c r="Q19" s="30">
        <v>1433500</v>
      </c>
      <c r="R19" s="35">
        <v>25</v>
      </c>
      <c r="S19" s="36">
        <v>4722500</v>
      </c>
      <c r="T19" s="14"/>
    </row>
    <row r="20" spans="1:20" s="42" customFormat="1" ht="19.5" thickBot="1" x14ac:dyDescent="0.35">
      <c r="A20" s="17" t="s">
        <v>23</v>
      </c>
      <c r="B20" s="18">
        <v>380</v>
      </c>
      <c r="C20" s="18">
        <v>129725500</v>
      </c>
      <c r="D20" s="18"/>
      <c r="E20" s="18">
        <v>181</v>
      </c>
      <c r="F20" s="18">
        <v>81695000</v>
      </c>
      <c r="G20" s="18"/>
      <c r="H20" s="18">
        <v>453</v>
      </c>
      <c r="I20" s="18">
        <v>82938300</v>
      </c>
      <c r="J20" s="18"/>
      <c r="K20" s="18">
        <v>1</v>
      </c>
      <c r="L20" s="18">
        <v>120000</v>
      </c>
      <c r="M20" s="39"/>
      <c r="N20" s="19">
        <v>218</v>
      </c>
      <c r="O20" s="19">
        <v>4937500</v>
      </c>
      <c r="P20" s="19">
        <v>117</v>
      </c>
      <c r="Q20" s="40">
        <v>12425500</v>
      </c>
      <c r="R20" s="37">
        <v>80</v>
      </c>
      <c r="S20" s="38">
        <v>6730000</v>
      </c>
      <c r="T20" s="41"/>
    </row>
    <row r="21" spans="1:20" ht="19.5" thickBot="1" x14ac:dyDescent="0.35">
      <c r="A21" s="21" t="s">
        <v>22</v>
      </c>
      <c r="B21" s="22">
        <f t="shared" ref="B21:C21" si="0">SUM(B6:B20)</f>
        <v>6382</v>
      </c>
      <c r="C21" s="22">
        <f t="shared" si="0"/>
        <v>3020345856.5100002</v>
      </c>
      <c r="D21" s="22"/>
      <c r="E21" s="22">
        <f t="shared" ref="E21:F21" si="1">SUM(E6:E20)</f>
        <v>3662</v>
      </c>
      <c r="F21" s="22">
        <f t="shared" si="1"/>
        <v>1910986364.75</v>
      </c>
      <c r="G21" s="22"/>
      <c r="H21" s="22">
        <f t="shared" ref="H21:I21" si="2">SUM(H6:H20)</f>
        <v>7697</v>
      </c>
      <c r="I21" s="22">
        <f t="shared" si="2"/>
        <v>1276804257.29</v>
      </c>
      <c r="J21" s="22"/>
      <c r="K21" s="22">
        <f t="shared" ref="K21:L21" si="3">SUM(K6:K20)</f>
        <v>3824</v>
      </c>
      <c r="L21" s="22">
        <f t="shared" si="3"/>
        <v>520061760</v>
      </c>
      <c r="M21" s="22"/>
      <c r="N21" s="24">
        <f t="shared" ref="N21:O21" si="4">SUM(N6:N20)</f>
        <v>5590</v>
      </c>
      <c r="O21" s="21">
        <f t="shared" si="4"/>
        <v>159526767</v>
      </c>
      <c r="P21" s="22">
        <f t="shared" ref="P21:Q21" si="5">SUM(P6:P20)</f>
        <v>1984</v>
      </c>
      <c r="Q21" s="24">
        <f t="shared" si="5"/>
        <v>218272148.66999999</v>
      </c>
      <c r="R21" s="21">
        <f t="shared" ref="R21:S21" si="6">SUM(R6:R20)</f>
        <v>1206</v>
      </c>
      <c r="S21" s="23">
        <f t="shared" si="6"/>
        <v>130989916</v>
      </c>
    </row>
    <row r="1048576" spans="5:5" x14ac:dyDescent="0.25">
      <c r="E1048576" s="14">
        <f>SUM(E1:E1048575)</f>
        <v>7324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2024-11-20T10:52:40Z</dcterms:created>
  <dcterms:modified xsi:type="dcterms:W3CDTF">2026-01-16T17:24:37Z</dcterms:modified>
</cp:coreProperties>
</file>